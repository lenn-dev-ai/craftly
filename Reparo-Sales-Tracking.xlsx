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s" sheetId="1" state="visible" r:id="rId3"/>
    <sheet name="Pipeline" sheetId="2" state="visible" r:id="rId4"/>
    <sheet name="Wochenplan" sheetId="3" state="visible" r:id="rId5"/>
    <sheet name="Howt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<sst xmlns="http://schemas.openxmlformats.org/spreadsheetml/2006/main" count="207" uniqueCount="163">
  <si>
    <t xml:space="preserve">Reparo — Sales-Pipeline Hausverwaltungen Berlin</t>
  </si>
  <si>
    <t xml:space="preserve">Stand-Recherche 2026-05-23 · Status-Spalten täglich pflegen · Pipeline-Sheet zeigt Live-Summary</t>
  </si>
  <si>
    <t xml:space="preserve">#</t>
  </si>
  <si>
    <t xml:space="preserve">Firma</t>
  </si>
  <si>
    <t xml:space="preserve">Bezirk</t>
  </si>
  <si>
    <t xml:space="preserve">Geschätzte Größe</t>
  </si>
  <si>
    <t xml:space="preserve">Tier</t>
  </si>
  <si>
    <t xml:space="preserve">Website</t>
  </si>
  <si>
    <t xml:space="preserve">Status</t>
  </si>
  <si>
    <t xml:space="preserve">Erstkontakt</t>
  </si>
  <si>
    <t xml:space="preserve">Letztes Follow-up</t>
  </si>
  <si>
    <t xml:space="preserve">Antwort?</t>
  </si>
  <si>
    <t xml:space="preserve">Nächster Schritt</t>
  </si>
  <si>
    <t xml:space="preserve">Notizen</t>
  </si>
  <si>
    <t xml:space="preserve">Promeda Hausverwaltung GmbH</t>
  </si>
  <si>
    <t xml:space="preserve">Pankow</t>
  </si>
  <si>
    <t xml:space="preserve">30-400 Einheiten</t>
  </si>
  <si>
    <t xml:space="preserve">Pro</t>
  </si>
  <si>
    <t xml:space="preserve">promeda.de</t>
  </si>
  <si>
    <t xml:space="preserve">Noch nicht</t>
  </si>
  <si>
    <t xml:space="preserve">Erstkontakt mit Template A</t>
  </si>
  <si>
    <t xml:space="preserve">★ Perfekter Größenmatch — Priorität 1</t>
  </si>
  <si>
    <t xml:space="preserve">Process &amp; Cie</t>
  </si>
  <si>
    <t xml:space="preserve">Charlottenburg–Prenzlauer Berg</t>
  </si>
  <si>
    <t xml:space="preserve">Mittelgroß</t>
  </si>
  <si>
    <t xml:space="preserve">processcie.com</t>
  </si>
  <si>
    <t xml:space="preserve">Erstkontakt mit Template A (Tech-Pitch)</t>
  </si>
  <si>
    <t xml:space="preserve">★ Technikaffin, eigenes Portal — gut für Integration-Story</t>
  </si>
  <si>
    <t xml:space="preserve">Ralph Management GmbH</t>
  </si>
  <si>
    <t xml:space="preserve">Prenzlauer Berg + Kreuzberg</t>
  </si>
  <si>
    <t xml:space="preserve">ralph-hv.de</t>
  </si>
  <si>
    <t xml:space="preserve">Erstkontakt mit Template B (Pain-fokussiert)</t>
  </si>
  <si>
    <t xml:space="preserve">★ "Modern Software"-affin, offen für Tools</t>
  </si>
  <si>
    <t xml:space="preserve">WEG Hausverwaltung Berlin</t>
  </si>
  <si>
    <t xml:space="preserve">Berlin (multi)</t>
  </si>
  <si>
    <t xml:space="preserve">~400 Einheiten</t>
  </si>
  <si>
    <t xml:space="preserve">weg-hausverwaltung.berlin</t>
  </si>
  <si>
    <t xml:space="preserve">Erstkontakt mit WEG-spezifischem Pitch</t>
  </si>
  <si>
    <t xml:space="preserve">VDIV-Mitglied, §26a-zertifiziert</t>
  </si>
  <si>
    <t xml:space="preserve">Service365 Group</t>
  </si>
  <si>
    <t xml:space="preserve">hausverwaltung365-berlin.de</t>
  </si>
  <si>
    <t xml:space="preserve">Erstkontakt Standard</t>
  </si>
  <si>
    <t xml:space="preserve">Pricing ab 35€/Einheit/Monat → Pro-Tier-Match</t>
  </si>
  <si>
    <t xml:space="preserve">Hubert Hausverwaltung GmbH</t>
  </si>
  <si>
    <t xml:space="preserve">200+ Einheiten</t>
  </si>
  <si>
    <t xml:space="preserve">hubert-hausverwaltung-berlin.de</t>
  </si>
  <si>
    <t xml:space="preserve">Erstkontakt + Generationswechsel-Angle</t>
  </si>
  <si>
    <t xml:space="preserve">Seit 1969 — etabliert</t>
  </si>
  <si>
    <t xml:space="preserve">ABAKUS Immobilien</t>
  </si>
  <si>
    <t xml:space="preserve">Charlottenburg + Neukölln + Prenzlauer Berg</t>
  </si>
  <si>
    <t xml:space="preserve">Multi-Bezirk groß</t>
  </si>
  <si>
    <t xml:space="preserve">abakus-immobilien.de</t>
  </si>
  <si>
    <t xml:space="preserve">Erstkontakt mit Skalierungs-Pitch</t>
  </si>
  <si>
    <t xml:space="preserve">WEG + Miete + Gewerbe</t>
  </si>
  <si>
    <t xml:space="preserve">von Kathen Hausverwaltung</t>
  </si>
  <si>
    <t xml:space="preserve">Charlottenburg</t>
  </si>
  <si>
    <t xml:space="preserve">vonkathen-hausverwaltung.de</t>
  </si>
  <si>
    <t xml:space="preserve">Erstkontakt WEG-spezifisch</t>
  </si>
  <si>
    <t xml:space="preserve">"Harmonie in Eigentümergemeinschaften"</t>
  </si>
  <si>
    <t xml:space="preserve">Mele Immobilien GmbH</t>
  </si>
  <si>
    <t xml:space="preserve">Zehlendorf (betreut Mitte)</t>
  </si>
  <si>
    <t xml:space="preserve">Multi-Bezirk</t>
  </si>
  <si>
    <t xml:space="preserve">mele.de</t>
  </si>
  <si>
    <t xml:space="preserve">Multi-Bezirks-Verwaltung</t>
  </si>
  <si>
    <t xml:space="preserve">Martina Schaale Hausverwaltungen</t>
  </si>
  <si>
    <t xml:space="preserve">Steglitz + Multi</t>
  </si>
  <si>
    <t xml:space="preserve">hausverwaltung-berlin.berlin</t>
  </si>
  <si>
    <t xml:space="preserve">Erstkontakt persönlich</t>
  </si>
  <si>
    <t xml:space="preserve">Etablierter Name, Tel +49(30) 217 999 6-0</t>
  </si>
  <si>
    <t xml:space="preserve">Zillich Hausverwaltung</t>
  </si>
  <si>
    <t xml:space="preserve">Kreuzberg</t>
  </si>
  <si>
    <t xml:space="preserve">hausverwaltung-kreuzberg.de</t>
  </si>
  <si>
    <t xml:space="preserve">Erstkontakt Generationswechsel</t>
  </si>
  <si>
    <t xml:space="preserve">Seit 1981</t>
  </si>
  <si>
    <t xml:space="preserve">FDS Hausverwaltung GmbH</t>
  </si>
  <si>
    <t xml:space="preserve">Friedrichshain + Kreuzberg</t>
  </si>
  <si>
    <t xml:space="preserve">Multi-Wohnanlagen</t>
  </si>
  <si>
    <t xml:space="preserve">fds-hausverwaltung.de</t>
  </si>
  <si>
    <t xml:space="preserve">Erstkontakt Multi-Anlagen</t>
  </si>
  <si>
    <t xml:space="preserve">Mehrere zentrale Wohnanlagen</t>
  </si>
  <si>
    <t xml:space="preserve">WVG Berlin</t>
  </si>
  <si>
    <t xml:space="preserve">Berlin</t>
  </si>
  <si>
    <t xml:space="preserve">wvg-berlin.de</t>
  </si>
  <si>
    <t xml:space="preserve">"Persönlich &amp; zuverlässig"</t>
  </si>
  <si>
    <t xml:space="preserve">Koch und Kollegen</t>
  </si>
  <si>
    <t xml:space="preserve">WEG-Spezialist</t>
  </si>
  <si>
    <t xml:space="preserve">kochundkollegen.com</t>
  </si>
  <si>
    <t xml:space="preserve">Erstkontakt WEG-fokussiert</t>
  </si>
  <si>
    <t xml:space="preserve">WEG-Spezialisierung</t>
  </si>
  <si>
    <t xml:space="preserve">Pruß Hausverwaltung e.K.</t>
  </si>
  <si>
    <t xml:space="preserve">~4.000 Einheiten</t>
  </si>
  <si>
    <t xml:space="preserve">Enterprise</t>
  </si>
  <si>
    <t xml:space="preserve">—</t>
  </si>
  <si>
    <t xml:space="preserve">Anchor-Customer-Pitch (warten)</t>
  </si>
  <si>
    <t xml:space="preserve">Anchor-Customer-Potential — langer Sales-Cycle</t>
  </si>
  <si>
    <t xml:space="preserve">Matera</t>
  </si>
  <si>
    <t xml:space="preserve">Friedrichshain (deutschlandweit)</t>
  </si>
  <si>
    <t xml:space="preserve">Groß</t>
  </si>
  <si>
    <t xml:space="preserve">matera.eu/de/hausverwaltung/berlin</t>
  </si>
  <si>
    <t xml:space="preserve">Integrations-Pitch (warten)</t>
  </si>
  <si>
    <t xml:space="preserve">Großer Player, komplexer Sales-Cycle</t>
  </si>
  <si>
    <t xml:space="preserve">Pipeline-Übersicht — Live aus Targets-Sheet</t>
  </si>
  <si>
    <t xml:space="preserve">Aktualisiert automatisch wenn Status in Targets-Sheet geändert wird</t>
  </si>
  <si>
    <t xml:space="preserve">PIPELINE-STAGES</t>
  </si>
  <si>
    <t xml:space="preserve">KEY METRICS</t>
  </si>
  <si>
    <t xml:space="preserve">Stage</t>
  </si>
  <si>
    <t xml:space="preserve">Anzahl</t>
  </si>
  <si>
    <t xml:space="preserve">% Pipeline</t>
  </si>
  <si>
    <t xml:space="preserve">AKTIVE OPPORTUNITIES</t>
  </si>
  <si>
    <t xml:space="preserve">Follow-up 1</t>
  </si>
  <si>
    <t xml:space="preserve">Follow-up 2</t>
  </si>
  <si>
    <t xml:space="preserve">WIN-RATE</t>
  </si>
  <si>
    <t xml:space="preserve">Demo geplant</t>
  </si>
  <si>
    <t xml:space="preserve">Demo durch</t>
  </si>
  <si>
    <t xml:space="preserve">Trial</t>
  </si>
  <si>
    <t xml:space="preserve">Closed-Won</t>
  </si>
  <si>
    <t xml:space="preserve">DEMOS ABGEHALTEN</t>
  </si>
  <si>
    <t xml:space="preserve">Closed-Lost</t>
  </si>
  <si>
    <t xml:space="preserve">Nicht relevant</t>
  </si>
  <si>
    <t xml:space="preserve">TOTAL</t>
  </si>
  <si>
    <t xml:space="preserve">3-Wochen-Outreach-Plan</t>
  </si>
  <si>
    <t xml:space="preserve">Empfohlene Reihenfolge nach Urlaub. Anpassbar.</t>
  </si>
  <si>
    <t xml:space="preserve">Woche</t>
  </si>
  <si>
    <t xml:space="preserve">Phase</t>
  </si>
  <si>
    <t xml:space="preserve">Targets</t>
  </si>
  <si>
    <t xml:space="preserve">Ziel</t>
  </si>
  <si>
    <t xml:space="preserve">Woche 1</t>
  </si>
  <si>
    <t xml:space="preserve">Pilot-Welle</t>
  </si>
  <si>
    <t xml:space="preserve">1. Promeda, 2. Process &amp; Cie, 3. Ralph, 6. Hubert, 5. Service365</t>
  </si>
  <si>
    <t xml:space="preserve">1-2 Demo-Slots — Templates lernen, Antwort-Rate messen</t>
  </si>
  <si>
    <t xml:space="preserve">Woche 2</t>
  </si>
  <si>
    <t xml:space="preserve">Lernen + Iterieren</t>
  </si>
  <si>
    <t xml:space="preserve">4. WEG, 7. ABAKUS, 8. v.Kathen, 9. Mele, 10. Schaale, 11. Zillich, 12. FDS, 13. WVG, 14. Koch</t>
  </si>
  <si>
    <t xml:space="preserve">3-5 Demo-Slots — Templates auf Lern-Feedback anpassen</t>
  </si>
  <si>
    <t xml:space="preserve">Woche 3</t>
  </si>
  <si>
    <t xml:space="preserve">Skalieren</t>
  </si>
  <si>
    <t xml:space="preserve">Aus Verzeichnissen weitere Targets + Re-Engagement Woche-1-Nicht-Antworter</t>
  </si>
  <si>
    <t xml:space="preserve">Pipeline auf 30+ Opportunities ausbauen</t>
  </si>
  <si>
    <t xml:space="preserve">ANCHOR</t>
  </si>
  <si>
    <t xml:space="preserve">später (Enterprise)</t>
  </si>
  <si>
    <t xml:space="preserve">15. Pruß, 16. Matera</t>
  </si>
  <si>
    <t xml:space="preserve">Wenn Pipeline mit 50-500-Wohnungen-Kunden warm, Enterprise-Anbahnung</t>
  </si>
  <si>
    <t xml:space="preserve">Wie diese Datei zu nutzen ist</t>
  </si>
  <si>
    <t xml:space="preserve">1. Targets pflegen</t>
  </si>
  <si>
    <t xml:space="preserve">Im 'Targets'-Tab pro Firma den Status in Spalte G pflegen. Drop-Down enthält alle möglichen Stages.</t>
  </si>
  <si>
    <t xml:space="preserve">2. Pipeline checken</t>
  </si>
  <si>
    <t xml:space="preserve">Pipeline-Tab zeigt Live-Counts. Aktualisiert sich automatisch wenn Status geändert wird.</t>
  </si>
  <si>
    <t xml:space="preserve">3. Reihenfolge</t>
  </si>
  <si>
    <t xml:space="preserve">Wochenplan-Tab hat die empfohlene Outreach-Reihenfolge. Anpassbar.</t>
  </si>
  <si>
    <t xml:space="preserve">4. E-Mail-Vorlagen</t>
  </si>
  <si>
    <t xml:space="preserve">Sales-Playbook.md (im Reparo-Ordner) hat Cold-Mail-Templates A/B/C + Follow-up-Sequenz.</t>
  </si>
  <si>
    <t xml:space="preserve">5. Demo-Skript</t>
  </si>
  <si>
    <t xml:space="preserve">Sales-Playbook.md auch Demo-Skript Minute-für-Minute + Objection-Handling.</t>
  </si>
  <si>
    <t xml:space="preserve">6. Pricing-Calculator</t>
  </si>
  <si>
    <t xml:space="preserve">Reparo-Pricing-Calculator.html im Browser öffnen — Live-Slider für Sales-Demos.</t>
  </si>
  <si>
    <t xml:space="preserve">7. Status farblich</t>
  </si>
  <si>
    <t xml:space="preserve">Closed-Won grün, Closed-Lost grau, Demo durch/Trial gelb, alles offene hellgrün.</t>
  </si>
  <si>
    <t xml:space="preserve">8. Wann updaten</t>
  </si>
  <si>
    <t xml:space="preserve">Nach jeder Aktion (Cold-Mail raus, Antwort eingegangen, Demo durchgeführt).</t>
  </si>
  <si>
    <t xml:space="preserve">WICHTIG vor Cold-Outreach</t>
  </si>
  <si>
    <t xml:space="preserve">Pro Target 5-10 Min Persona-Recherche (LinkedIn, Website, Impressum) — siehe Sales-Playbook.md.</t>
  </si>
  <si>
    <t xml:space="preserve">DATENSCHUTZ</t>
  </si>
  <si>
    <t xml:space="preserve">Nur öffentliche Business-Daten verwenden. Bei einzelnen Personen-E-Mails: erst LinkedIn-Connect.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</si>
</sst>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4D39"/>
      <name val="Georgia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F2937"/>
      <name val="Calibri"/>
      <family val="0"/>
      <charset val="1"/>
    </font>
    <font>
      <b val="true"/>
      <sz val="11"/>
      <color rgb="FF0F4D39"/>
      <name val="Calibri"/>
      <family val="0"/>
      <charset val="1"/>
    </font>
    <font>
      <b val="true"/>
      <sz val="10"/>
      <color rgb="FFD4A93B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b val="true"/>
      <sz val="42"/>
      <color rgb="FFFAF7F0"/>
      <name val="Georgia"/>
      <family val="0"/>
      <charset val="1"/>
    </font>
    <font>
      <b val="true"/>
      <sz val="10"/>
      <color rgb="FF0F4D39"/>
      <name val="Calibri"/>
      <family val="0"/>
      <charset val="1"/>
    </font>
    <font>
      <b val="true"/>
      <sz val="42"/>
      <color rgb="FF0F4D39"/>
      <name val="Georg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AF7F0"/>
        <bgColor rgb="FFFFFFFF"/>
      </patternFill>
    </fill>
    <fill>
      <patternFill patternType="solid">
        <fgColor rgb="FF0F4D39"/>
        <bgColor rgb="FF064E3B"/>
      </patternFill>
    </fill>
    <fill>
      <patternFill patternType="solid">
        <fgColor rgb="FFEDE6D3"/>
        <bgColor rgb="FFE5E7EB"/>
      </patternFill>
    </fill>
    <fill>
      <patternFill patternType="solid">
        <fgColor rgb="FFFFFFFF"/>
        <bgColor rgb="FFFAF7F0"/>
      </patternFill>
    </fill>
    <fill>
      <patternFill patternType="solid">
        <fgColor rgb="FFD4A93B"/>
        <bgColor rgb="FFFCD34D"/>
      </patternFill>
    </fill>
    <fill>
      <patternFill patternType="solid">
        <fgColor rgb="FFC8E6D8"/>
        <bgColor rgb="FFD1D5D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medium">
        <color rgb="FF0F4D39"/>
      </top>
      <bottom style="medium">
        <color rgb="FF0F4D39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64E3B"/>
      </font>
      <fill>
        <patternFill>
          <bgColor rgb="FF86EFAC"/>
        </patternFill>
      </fill>
    </dxf>
    <dxf>
      <font>
        <i val="1"/>
        <color rgb="FF6B7280"/>
      </font>
      <fill>
        <patternFill>
          <bgColor rgb="FFE5E7EB"/>
        </patternFill>
      </fill>
    </dxf>
    <dxf>
      <font>
        <b val="1"/>
        <color rgb="FF78350F"/>
      </font>
      <fill>
        <patternFill>
          <bgColor rgb="FFFCD34D"/>
        </patternFill>
      </fill>
    </dxf>
    <dxf>
      <fill>
        <patternFill>
          <bgColor rgb="FFC8E6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7F0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D8"/>
      <rgbColor rgb="FFEDE6D3"/>
      <rgbColor rgb="FF86EFAC"/>
      <rgbColor rgb="FFFF99CC"/>
      <rgbColor rgb="FFCC99FF"/>
      <rgbColor rgb="FFFCD34D"/>
      <rgbColor rgb="FF3366FF"/>
      <rgbColor rgb="FF33CCCC"/>
      <rgbColor rgb="FF99CC00"/>
      <rgbColor rgb="FFFFCC00"/>
      <rgbColor rgb="FFD4A93B"/>
      <rgbColor rgb="FFFF6600"/>
      <rgbColor rgb="FF6B7280"/>
      <rgbColor rgb="FF969696"/>
      <rgbColor rgb="FF064E3B"/>
      <rgbColor rgb="FF339966"/>
      <rgbColor rgb="FF0F4D39"/>
      <rgbColor rgb="FF333300"/>
      <rgbColor rgb="FF78350F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38"/>
    <col collapsed="false" customWidth="true" hidden="false" outlineLevel="0" max="12" min="12" style="0" width="4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6" hidden="false" customHeight="true" outlineLevel="0" collapsed="false">
      <c r="A5" s="4" t="n">
        <v>1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4" t="s">
        <v>19</v>
      </c>
      <c r="H5" s="5"/>
      <c r="I5" s="5"/>
      <c r="J5" s="4"/>
      <c r="K5" s="5" t="s">
        <v>20</v>
      </c>
      <c r="L5" s="5" t="s">
        <v>21</v>
      </c>
    </row>
    <row r="6" customFormat="false" ht="36" hidden="false" customHeight="true" outlineLevel="0" collapsed="false">
      <c r="A6" s="6" t="n">
        <v>2</v>
      </c>
      <c r="B6" s="7" t="s">
        <v>22</v>
      </c>
      <c r="C6" s="7" t="s">
        <v>23</v>
      </c>
      <c r="D6" s="7" t="s">
        <v>24</v>
      </c>
      <c r="E6" s="7" t="s">
        <v>17</v>
      </c>
      <c r="F6" s="7" t="s">
        <v>25</v>
      </c>
      <c r="G6" s="6" t="s">
        <v>19</v>
      </c>
      <c r="H6" s="7"/>
      <c r="I6" s="7"/>
      <c r="J6" s="6"/>
      <c r="K6" s="7" t="s">
        <v>26</v>
      </c>
      <c r="L6" s="7" t="s">
        <v>27</v>
      </c>
    </row>
    <row r="7" customFormat="false" ht="36" hidden="false" customHeight="true" outlineLevel="0" collapsed="false">
      <c r="A7" s="4" t="n">
        <v>3</v>
      </c>
      <c r="B7" s="5" t="s">
        <v>28</v>
      </c>
      <c r="C7" s="5" t="s">
        <v>29</v>
      </c>
      <c r="D7" s="5" t="s">
        <v>24</v>
      </c>
      <c r="E7" s="5" t="s">
        <v>17</v>
      </c>
      <c r="F7" s="5" t="s">
        <v>30</v>
      </c>
      <c r="G7" s="4" t="s">
        <v>19</v>
      </c>
      <c r="H7" s="5"/>
      <c r="I7" s="5"/>
      <c r="J7" s="4"/>
      <c r="K7" s="5" t="s">
        <v>31</v>
      </c>
      <c r="L7" s="5" t="s">
        <v>32</v>
      </c>
    </row>
    <row r="8" customFormat="false" ht="36" hidden="false" customHeight="true" outlineLevel="0" collapsed="false">
      <c r="A8" s="6" t="n">
        <v>4</v>
      </c>
      <c r="B8" s="7" t="s">
        <v>33</v>
      </c>
      <c r="C8" s="7" t="s">
        <v>34</v>
      </c>
      <c r="D8" s="7" t="s">
        <v>35</v>
      </c>
      <c r="E8" s="7" t="s">
        <v>17</v>
      </c>
      <c r="F8" s="7" t="s">
        <v>36</v>
      </c>
      <c r="G8" s="6" t="s">
        <v>19</v>
      </c>
      <c r="H8" s="7"/>
      <c r="I8" s="7"/>
      <c r="J8" s="6"/>
      <c r="K8" s="7" t="s">
        <v>37</v>
      </c>
      <c r="L8" s="7" t="s">
        <v>38</v>
      </c>
    </row>
    <row r="9" customFormat="false" ht="36" hidden="false" customHeight="true" outlineLevel="0" collapsed="false">
      <c r="A9" s="4" t="n">
        <v>5</v>
      </c>
      <c r="B9" s="5" t="s">
        <v>39</v>
      </c>
      <c r="C9" s="5" t="s">
        <v>34</v>
      </c>
      <c r="D9" s="5" t="s">
        <v>24</v>
      </c>
      <c r="E9" s="5" t="s">
        <v>17</v>
      </c>
      <c r="F9" s="5" t="s">
        <v>40</v>
      </c>
      <c r="G9" s="4" t="s">
        <v>19</v>
      </c>
      <c r="H9" s="5"/>
      <c r="I9" s="5"/>
      <c r="J9" s="4"/>
      <c r="K9" s="5" t="s">
        <v>41</v>
      </c>
      <c r="L9" s="5" t="s">
        <v>42</v>
      </c>
    </row>
    <row r="10" customFormat="false" ht="36" hidden="false" customHeight="true" outlineLevel="0" collapsed="false">
      <c r="A10" s="6" t="n">
        <v>6</v>
      </c>
      <c r="B10" s="7" t="s">
        <v>43</v>
      </c>
      <c r="C10" s="7" t="s">
        <v>34</v>
      </c>
      <c r="D10" s="7" t="s">
        <v>44</v>
      </c>
      <c r="E10" s="7" t="s">
        <v>17</v>
      </c>
      <c r="F10" s="7" t="s">
        <v>45</v>
      </c>
      <c r="G10" s="6" t="s">
        <v>19</v>
      </c>
      <c r="H10" s="7"/>
      <c r="I10" s="7"/>
      <c r="J10" s="6"/>
      <c r="K10" s="7" t="s">
        <v>46</v>
      </c>
      <c r="L10" s="7" t="s">
        <v>47</v>
      </c>
    </row>
    <row r="11" customFormat="false" ht="36" hidden="false" customHeight="true" outlineLevel="0" collapsed="false">
      <c r="A11" s="4" t="n">
        <v>7</v>
      </c>
      <c r="B11" s="5" t="s">
        <v>48</v>
      </c>
      <c r="C11" s="5" t="s">
        <v>49</v>
      </c>
      <c r="D11" s="5" t="s">
        <v>50</v>
      </c>
      <c r="E11" s="5" t="s">
        <v>17</v>
      </c>
      <c r="F11" s="5" t="s">
        <v>51</v>
      </c>
      <c r="G11" s="4" t="s">
        <v>19</v>
      </c>
      <c r="H11" s="5"/>
      <c r="I11" s="5"/>
      <c r="J11" s="4"/>
      <c r="K11" s="5" t="s">
        <v>52</v>
      </c>
      <c r="L11" s="5" t="s">
        <v>53</v>
      </c>
    </row>
    <row r="12" customFormat="false" ht="36" hidden="false" customHeight="true" outlineLevel="0" collapsed="false">
      <c r="A12" s="6" t="n">
        <v>8</v>
      </c>
      <c r="B12" s="7" t="s">
        <v>54</v>
      </c>
      <c r="C12" s="7" t="s">
        <v>55</v>
      </c>
      <c r="D12" s="7" t="s">
        <v>24</v>
      </c>
      <c r="E12" s="7" t="s">
        <v>17</v>
      </c>
      <c r="F12" s="7" t="s">
        <v>56</v>
      </c>
      <c r="G12" s="6" t="s">
        <v>19</v>
      </c>
      <c r="H12" s="7"/>
      <c r="I12" s="7"/>
      <c r="J12" s="6"/>
      <c r="K12" s="7" t="s">
        <v>57</v>
      </c>
      <c r="L12" s="7" t="s">
        <v>58</v>
      </c>
    </row>
    <row r="13" customFormat="false" ht="36" hidden="false" customHeight="true" outlineLevel="0" collapsed="false">
      <c r="A13" s="4" t="n">
        <v>9</v>
      </c>
      <c r="B13" s="5" t="s">
        <v>59</v>
      </c>
      <c r="C13" s="5" t="s">
        <v>60</v>
      </c>
      <c r="D13" s="5" t="s">
        <v>61</v>
      </c>
      <c r="E13" s="5" t="s">
        <v>17</v>
      </c>
      <c r="F13" s="5" t="s">
        <v>62</v>
      </c>
      <c r="G13" s="4" t="s">
        <v>19</v>
      </c>
      <c r="H13" s="5"/>
      <c r="I13" s="5"/>
      <c r="J13" s="4"/>
      <c r="K13" s="5" t="s">
        <v>41</v>
      </c>
      <c r="L13" s="5" t="s">
        <v>63</v>
      </c>
    </row>
    <row r="14" customFormat="false" ht="36" hidden="false" customHeight="true" outlineLevel="0" collapsed="false">
      <c r="A14" s="6" t="n">
        <v>10</v>
      </c>
      <c r="B14" s="7" t="s">
        <v>64</v>
      </c>
      <c r="C14" s="7" t="s">
        <v>65</v>
      </c>
      <c r="D14" s="7" t="s">
        <v>24</v>
      </c>
      <c r="E14" s="7" t="s">
        <v>17</v>
      </c>
      <c r="F14" s="7" t="s">
        <v>66</v>
      </c>
      <c r="G14" s="6" t="s">
        <v>19</v>
      </c>
      <c r="H14" s="7"/>
      <c r="I14" s="7"/>
      <c r="J14" s="6"/>
      <c r="K14" s="7" t="s">
        <v>67</v>
      </c>
      <c r="L14" s="7" t="s">
        <v>68</v>
      </c>
    </row>
    <row r="15" customFormat="false" ht="36" hidden="false" customHeight="true" outlineLevel="0" collapsed="false">
      <c r="A15" s="4" t="n">
        <v>11</v>
      </c>
      <c r="B15" s="5" t="s">
        <v>69</v>
      </c>
      <c r="C15" s="5" t="s">
        <v>70</v>
      </c>
      <c r="D15" s="5" t="s">
        <v>24</v>
      </c>
      <c r="E15" s="5" t="s">
        <v>17</v>
      </c>
      <c r="F15" s="5" t="s">
        <v>71</v>
      </c>
      <c r="G15" s="4" t="s">
        <v>19</v>
      </c>
      <c r="H15" s="5"/>
      <c r="I15" s="5"/>
      <c r="J15" s="4"/>
      <c r="K15" s="5" t="s">
        <v>72</v>
      </c>
      <c r="L15" s="5" t="s">
        <v>73</v>
      </c>
    </row>
    <row r="16" customFormat="false" ht="36" hidden="false" customHeight="true" outlineLevel="0" collapsed="false">
      <c r="A16" s="6" t="n">
        <v>12</v>
      </c>
      <c r="B16" s="7" t="s">
        <v>74</v>
      </c>
      <c r="C16" s="7" t="s">
        <v>75</v>
      </c>
      <c r="D16" s="7" t="s">
        <v>76</v>
      </c>
      <c r="E16" s="7" t="s">
        <v>17</v>
      </c>
      <c r="F16" s="7" t="s">
        <v>77</v>
      </c>
      <c r="G16" s="6" t="s">
        <v>19</v>
      </c>
      <c r="H16" s="7"/>
      <c r="I16" s="7"/>
      <c r="J16" s="6"/>
      <c r="K16" s="7" t="s">
        <v>78</v>
      </c>
      <c r="L16" s="7" t="s">
        <v>79</v>
      </c>
    </row>
    <row r="17" customFormat="false" ht="36" hidden="false" customHeight="true" outlineLevel="0" collapsed="false">
      <c r="A17" s="4" t="n">
        <v>13</v>
      </c>
      <c r="B17" s="5" t="s">
        <v>80</v>
      </c>
      <c r="C17" s="5" t="s">
        <v>81</v>
      </c>
      <c r="D17" s="5" t="s">
        <v>24</v>
      </c>
      <c r="E17" s="5" t="s">
        <v>17</v>
      </c>
      <c r="F17" s="5" t="s">
        <v>82</v>
      </c>
      <c r="G17" s="4" t="s">
        <v>19</v>
      </c>
      <c r="H17" s="5"/>
      <c r="I17" s="5"/>
      <c r="J17" s="4"/>
      <c r="K17" s="5" t="s">
        <v>41</v>
      </c>
      <c r="L17" s="5" t="s">
        <v>83</v>
      </c>
    </row>
    <row r="18" customFormat="false" ht="36" hidden="false" customHeight="true" outlineLevel="0" collapsed="false">
      <c r="A18" s="6" t="n">
        <v>14</v>
      </c>
      <c r="B18" s="7" t="s">
        <v>84</v>
      </c>
      <c r="C18" s="7" t="s">
        <v>81</v>
      </c>
      <c r="D18" s="7" t="s">
        <v>85</v>
      </c>
      <c r="E18" s="7" t="s">
        <v>17</v>
      </c>
      <c r="F18" s="7" t="s">
        <v>86</v>
      </c>
      <c r="G18" s="6" t="s">
        <v>19</v>
      </c>
      <c r="H18" s="7"/>
      <c r="I18" s="7"/>
      <c r="J18" s="6"/>
      <c r="K18" s="7" t="s">
        <v>87</v>
      </c>
      <c r="L18" s="7" t="s">
        <v>88</v>
      </c>
    </row>
    <row r="19" customFormat="false" ht="36" hidden="false" customHeight="true" outlineLevel="0" collapsed="false">
      <c r="A19" s="4" t="n">
        <v>15</v>
      </c>
      <c r="B19" s="5" t="s">
        <v>89</v>
      </c>
      <c r="C19" s="5" t="s">
        <v>81</v>
      </c>
      <c r="D19" s="5" t="s">
        <v>90</v>
      </c>
      <c r="E19" s="5" t="s">
        <v>91</v>
      </c>
      <c r="F19" s="5" t="s">
        <v>92</v>
      </c>
      <c r="G19" s="4" t="s">
        <v>19</v>
      </c>
      <c r="H19" s="5"/>
      <c r="I19" s="5"/>
      <c r="J19" s="4"/>
      <c r="K19" s="5" t="s">
        <v>93</v>
      </c>
      <c r="L19" s="5" t="s">
        <v>94</v>
      </c>
    </row>
    <row r="20" customFormat="false" ht="36" hidden="false" customHeight="true" outlineLevel="0" collapsed="false">
      <c r="A20" s="6" t="n">
        <v>16</v>
      </c>
      <c r="B20" s="7" t="s">
        <v>95</v>
      </c>
      <c r="C20" s="7" t="s">
        <v>96</v>
      </c>
      <c r="D20" s="7" t="s">
        <v>97</v>
      </c>
      <c r="E20" s="7" t="s">
        <v>91</v>
      </c>
      <c r="F20" s="7" t="s">
        <v>98</v>
      </c>
      <c r="G20" s="6" t="s">
        <v>19</v>
      </c>
      <c r="H20" s="7"/>
      <c r="I20" s="7"/>
      <c r="J20" s="6"/>
      <c r="K20" s="7" t="s">
        <v>99</v>
      </c>
      <c r="L20" s="7" t="s">
        <v>100</v>
      </c>
    </row>
  </sheetData>
  <mergeCells count="2">
    <mergeCell ref="A1:L1"/>
    <mergeCell ref="A2:L2"/>
  </mergeCells>
  <conditionalFormatting sqref="G5:G20">
    <cfRule type="expression" priority="2" aboveAverage="0" equalAverage="0" bottom="0" percent="0" rank="0" text="" dxfId="0">
      <formula>$G5="Closed-Won"</formula>
    </cfRule>
    <cfRule type="expression" priority="3" aboveAverage="0" equalAverage="0" bottom="0" percent="0" rank="0" text="" dxfId="1">
      <formula>OR($G5="Closed-Lost",$G5="Nicht relevant")</formula>
    </cfRule>
    <cfRule type="expression" priority="4" aboveAverage="0" equalAverage="0" bottom="0" percent="0" rank="0" text="" dxfId="2">
      <formula>OR($G5="Demo durch",$G5="Trial")</formula>
    </cfRule>
    <cfRule type="expression" priority="5" aboveAverage="0" equalAverage="0" bottom="0" percent="0" rank="0" text="" dxfId="3">
      <formula>OR($G5="Erstkontakt",$G5="Follow-up 1",$G5="Follow-up 2",$G5="Demo geplant")</formula>
    </cfRule>
  </conditionalFormatting>
  <dataValidations count="2">
    <dataValidation allowBlank="true" errorStyle="stop" operator="between" showDropDown="false" showErrorMessage="false" showInputMessage="false" sqref="G5:G20" type="list">
      <formula1>"Noch nicht,Erstkontakt,Follow-up 1,Follow-up 2,Demo geplant,Demo durch,Trial,Closed-Won,Closed-Lost,Nicht relevant"</formula1>
      <formula2>0</formula2>
    </dataValidation>
    <dataValidation allowBlank="true" errorStyle="stop" operator="between" showDropDown="false" showErrorMessage="false" showInputMessage="false" sqref="J5:J20" type="list">
      <formula1>"Ja,Nein,—"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6" min="5" style="0" width="18"/>
  </cols>
  <sheetData>
    <row r="1" customFormat="false" ht="36" hidden="false" customHeight="true" outlineLevel="0" collapsed="false">
      <c r="A1" s="1" t="s">
        <v>101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102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15" hidden="false" customHeight="false" outlineLevel="0" collapsed="false">
      <c r="A4" s="8" t="s">
        <v>103</v>
      </c>
      <c r="E4" s="8" t="s">
        <v>104</v>
      </c>
    </row>
    <row r="5" customFormat="false" ht="27.75" hidden="false" customHeight="true" outlineLevel="0" collapsed="false">
      <c r="A5" s="3" t="s">
        <v>105</v>
      </c>
      <c r="B5" s="3" t="s">
        <v>106</v>
      </c>
      <c r="C5" s="3" t="s">
        <v>107</v>
      </c>
      <c r="E5" s="9" t="s">
        <v>108</v>
      </c>
      <c r="F5" s="9"/>
    </row>
    <row r="6" customFormat="false" ht="30" hidden="false" customHeight="true" outlineLevel="0" collapsed="false">
      <c r="A6" s="7" t="s">
        <v>19</v>
      </c>
      <c r="B6" s="10" t="n">
        <f aca="false">COUNTIF(Targets!G5:G20,"Noch nicht")</f>
        <v>16</v>
      </c>
      <c r="C6" s="11" t="n">
        <f aca="false">IF(SUM($B$6:$B$15)=0,0,B6/SUM($B$6:$B$15))</f>
        <v>1</v>
      </c>
      <c r="E6" s="12" t="n">
        <f aca="false">COUNTIF(Targets!G5:G20,"Erstkontakt")+COUNTIF(Targets!G5:G20,"Follow-up 1")+COUNTIF(Targets!G5:G20,"Follow-up 2")+COUNTIF(Targets!G5:G20,"Demo geplant")+COUNTIF(Targets!G5:G20,"Demo durch")+COUNTIF(Targets!G5:G20,"Trial")</f>
        <v>0</v>
      </c>
      <c r="F6" s="12"/>
    </row>
    <row r="7" customFormat="false" ht="30" hidden="false" customHeight="true" outlineLevel="0" collapsed="false">
      <c r="A7" s="5" t="s">
        <v>9</v>
      </c>
      <c r="B7" s="13" t="n">
        <f aca="false">COUNTIF(Targets!G5:G20,"Erstkontakt")</f>
        <v>0</v>
      </c>
      <c r="C7" s="14" t="n">
        <f aca="false">IF(SUM($B$6:$B$15)=0,0,B7/SUM($B$6:$B$15))</f>
        <v>0</v>
      </c>
      <c r="E7" s="12"/>
      <c r="F7" s="12"/>
    </row>
    <row r="8" customFormat="false" ht="30" hidden="false" customHeight="true" outlineLevel="0" collapsed="false">
      <c r="A8" s="7" t="s">
        <v>109</v>
      </c>
      <c r="B8" s="10" t="n">
        <f aca="false">COUNTIF(Targets!G5:G20,"Follow-up 1")</f>
        <v>0</v>
      </c>
      <c r="C8" s="11" t="n">
        <f aca="false">IF(SUM($B$6:$B$15)=0,0,B8/SUM($B$6:$B$15))</f>
        <v>0</v>
      </c>
      <c r="E8" s="12"/>
      <c r="F8" s="12"/>
    </row>
    <row r="9" customFormat="false" ht="15" hidden="false" customHeight="true" outlineLevel="0" collapsed="false">
      <c r="A9" s="5" t="s">
        <v>110</v>
      </c>
      <c r="B9" s="13" t="n">
        <f aca="false">COUNTIF(Targets!G5:G20,"Follow-up 2")</f>
        <v>0</v>
      </c>
      <c r="C9" s="14" t="n">
        <f aca="false">IF(SUM($B$6:$B$15)=0,0,B9/SUM($B$6:$B$15))</f>
        <v>0</v>
      </c>
      <c r="E9" s="15" t="s">
        <v>111</v>
      </c>
      <c r="F9" s="15"/>
    </row>
    <row r="10" customFormat="false" ht="30" hidden="false" customHeight="true" outlineLevel="0" collapsed="false">
      <c r="A10" s="7" t="s">
        <v>112</v>
      </c>
      <c r="B10" s="10" t="n">
        <f aca="false">COUNTIF(Targets!G5:G20,"Demo geplant")</f>
        <v>0</v>
      </c>
      <c r="C10" s="11" t="n">
        <f aca="false">IF(SUM($B$6:$B$15)=0,0,B10/SUM($B$6:$B$15))</f>
        <v>0</v>
      </c>
      <c r="E10" s="16" t="n">
        <f aca="false">IFERROR(COUNTIF(Targets!G5:G20,"Closed-Won")/(COUNTIF(Targets!G5:G20,"Closed-Won")+COUNTIF(Targets!G5:G20,"Closed-Lost")),0)</f>
        <v>0</v>
      </c>
      <c r="F10" s="16"/>
    </row>
    <row r="11" customFormat="false" ht="30" hidden="false" customHeight="true" outlineLevel="0" collapsed="false">
      <c r="A11" s="5" t="s">
        <v>113</v>
      </c>
      <c r="B11" s="13" t="n">
        <f aca="false">COUNTIF(Targets!G5:G20,"Demo durch")</f>
        <v>0</v>
      </c>
      <c r="C11" s="14" t="n">
        <f aca="false">IF(SUM($B$6:$B$15)=0,0,B11/SUM($B$6:$B$15))</f>
        <v>0</v>
      </c>
      <c r="E11" s="16"/>
      <c r="F11" s="16"/>
    </row>
    <row r="12" customFormat="false" ht="30" hidden="false" customHeight="true" outlineLevel="0" collapsed="false">
      <c r="A12" s="7" t="s">
        <v>114</v>
      </c>
      <c r="B12" s="10" t="n">
        <f aca="false">COUNTIF(Targets!G5:G20,"Trial")</f>
        <v>0</v>
      </c>
      <c r="C12" s="11" t="n">
        <f aca="false">IF(SUM($B$6:$B$15)=0,0,B12/SUM($B$6:$B$15))</f>
        <v>0</v>
      </c>
      <c r="E12" s="16"/>
      <c r="F12" s="16"/>
    </row>
    <row r="13" customFormat="false" ht="15" hidden="false" customHeight="true" outlineLevel="0" collapsed="false">
      <c r="A13" s="5" t="s">
        <v>115</v>
      </c>
      <c r="B13" s="13" t="n">
        <f aca="false">COUNTIF(Targets!G5:G20,"Closed-Won")</f>
        <v>0</v>
      </c>
      <c r="C13" s="14" t="n">
        <f aca="false">IF(SUM($B$6:$B$15)=0,0,B13/SUM($B$6:$B$15))</f>
        <v>0</v>
      </c>
      <c r="E13" s="9" t="s">
        <v>116</v>
      </c>
      <c r="F13" s="9"/>
    </row>
    <row r="14" customFormat="false" ht="30" hidden="false" customHeight="true" outlineLevel="0" collapsed="false">
      <c r="A14" s="7" t="s">
        <v>117</v>
      </c>
      <c r="B14" s="10" t="n">
        <f aca="false">COUNTIF(Targets!G5:G20,"Closed-Lost")</f>
        <v>0</v>
      </c>
      <c r="C14" s="11" t="n">
        <f aca="false">IF(SUM($B$6:$B$15)=0,0,B14/SUM($B$6:$B$15))</f>
        <v>0</v>
      </c>
      <c r="E14" s="12" t="n">
        <f aca="false">COUNTIF(Targets!G5:G20,"Demo durch")+COUNTIF(Targets!G5:G20,"Trial")+COUNTIF(Targets!G5:G20,"Closed-Won")+COUNTIF(Targets!G5:G20,"Closed-Lost")</f>
        <v>0</v>
      </c>
      <c r="F14" s="12"/>
    </row>
    <row r="15" customFormat="false" ht="30" hidden="false" customHeight="true" outlineLevel="0" collapsed="false">
      <c r="A15" s="5" t="s">
        <v>118</v>
      </c>
      <c r="B15" s="13" t="n">
        <f aca="false">COUNTIF(Targets!G5:G20,"Nicht relevant")</f>
        <v>0</v>
      </c>
      <c r="C15" s="14" t="n">
        <f aca="false">IF(SUM($B$6:$B$15)=0,0,B15/SUM($B$6:$B$15))</f>
        <v>0</v>
      </c>
      <c r="E15" s="12"/>
      <c r="F15" s="12"/>
    </row>
    <row r="16" customFormat="false" ht="30" hidden="false" customHeight="true" outlineLevel="0" collapsed="false">
      <c r="A16" s="17" t="s">
        <v>119</v>
      </c>
      <c r="B16" s="18" t="n">
        <f aca="false">SUM(B6:B15)</f>
        <v>16</v>
      </c>
      <c r="C16" s="19" t="n">
        <f aca="false">SUM(C6:C15)</f>
        <v>1</v>
      </c>
      <c r="E16" s="12"/>
      <c r="F16" s="12"/>
    </row>
  </sheetData>
  <mergeCells count="8">
    <mergeCell ref="A1:F1"/>
    <mergeCell ref="A2:F2"/>
    <mergeCell ref="E5:F5"/>
    <mergeCell ref="E6:F8"/>
    <mergeCell ref="E9:F9"/>
    <mergeCell ref="E10:F12"/>
    <mergeCell ref="E13:F13"/>
    <mergeCell ref="E14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45"/>
  </cols>
  <sheetData>
    <row r="1" customFormat="false" ht="36" hidden="false" customHeight="true" outlineLevel="0" collapsed="false">
      <c r="A1" s="1" t="s">
        <v>120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121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122</v>
      </c>
      <c r="B4" s="3" t="s">
        <v>123</v>
      </c>
      <c r="C4" s="3" t="s">
        <v>124</v>
      </c>
      <c r="D4" s="3" t="s">
        <v>106</v>
      </c>
      <c r="E4" s="3" t="s">
        <v>125</v>
      </c>
    </row>
    <row r="5" customFormat="false" ht="49.5" hidden="false" customHeight="true" outlineLevel="0" collapsed="false">
      <c r="A5" s="13" t="s">
        <v>126</v>
      </c>
      <c r="B5" s="4" t="s">
        <v>127</v>
      </c>
      <c r="C5" s="5" t="s">
        <v>128</v>
      </c>
      <c r="D5" s="4" t="n">
        <v>5</v>
      </c>
      <c r="E5" s="5" t="s">
        <v>129</v>
      </c>
    </row>
    <row r="6" customFormat="false" ht="49.5" hidden="false" customHeight="true" outlineLevel="0" collapsed="false">
      <c r="A6" s="10" t="s">
        <v>130</v>
      </c>
      <c r="B6" s="6" t="s">
        <v>131</v>
      </c>
      <c r="C6" s="7" t="s">
        <v>132</v>
      </c>
      <c r="D6" s="6" t="n">
        <v>9</v>
      </c>
      <c r="E6" s="7" t="s">
        <v>133</v>
      </c>
    </row>
    <row r="7" customFormat="false" ht="49.5" hidden="false" customHeight="true" outlineLevel="0" collapsed="false">
      <c r="A7" s="13" t="s">
        <v>134</v>
      </c>
      <c r="B7" s="4" t="s">
        <v>135</v>
      </c>
      <c r="C7" s="5" t="s">
        <v>136</v>
      </c>
      <c r="D7" s="4" t="n">
        <v>20</v>
      </c>
      <c r="E7" s="5" t="s">
        <v>137</v>
      </c>
    </row>
    <row r="8" customFormat="false" ht="49.5" hidden="false" customHeight="true" outlineLevel="0" collapsed="false">
      <c r="A8" s="10"/>
      <c r="B8" s="6"/>
      <c r="C8" s="7"/>
      <c r="D8" s="6"/>
      <c r="E8" s="7"/>
    </row>
    <row r="9" customFormat="false" ht="49.5" hidden="false" customHeight="true" outlineLevel="0" collapsed="false">
      <c r="A9" s="13" t="s">
        <v>138</v>
      </c>
      <c r="B9" s="4" t="s">
        <v>139</v>
      </c>
      <c r="C9" s="5" t="s">
        <v>140</v>
      </c>
      <c r="D9" s="4" t="n">
        <v>2</v>
      </c>
      <c r="E9" s="5" t="s">
        <v>141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5"/>
  </cols>
  <sheetData>
    <row r="1" customFormat="false" ht="36" hidden="false" customHeight="true" outlineLevel="0" collapsed="false">
      <c r="A1" s="1" t="s">
        <v>142</v>
      </c>
      <c r="B1" s="1"/>
    </row>
    <row r="2" customFormat="false" ht="9.75" hidden="false" customHeight="true" outlineLevel="0" collapsed="false"/>
    <row r="3" customFormat="false" ht="31.5" hidden="false" customHeight="true" outlineLevel="0" collapsed="false">
      <c r="A3" s="20" t="s">
        <v>143</v>
      </c>
      <c r="B3" s="21" t="s">
        <v>144</v>
      </c>
    </row>
    <row r="4" customFormat="false" ht="31.5" hidden="false" customHeight="true" outlineLevel="0" collapsed="false">
      <c r="A4" s="22" t="s">
        <v>145</v>
      </c>
      <c r="B4" s="23" t="s">
        <v>146</v>
      </c>
    </row>
    <row r="5" customFormat="false" ht="31.5" hidden="false" customHeight="true" outlineLevel="0" collapsed="false">
      <c r="A5" s="20" t="s">
        <v>147</v>
      </c>
      <c r="B5" s="21" t="s">
        <v>148</v>
      </c>
    </row>
    <row r="6" customFormat="false" ht="31.5" hidden="false" customHeight="true" outlineLevel="0" collapsed="false">
      <c r="A6" s="22" t="s">
        <v>149</v>
      </c>
      <c r="B6" s="23" t="s">
        <v>150</v>
      </c>
    </row>
    <row r="7" customFormat="false" ht="31.5" hidden="false" customHeight="true" outlineLevel="0" collapsed="false">
      <c r="A7" s="20" t="s">
        <v>151</v>
      </c>
      <c r="B7" s="21" t="s">
        <v>152</v>
      </c>
    </row>
    <row r="8" customFormat="false" ht="31.5" hidden="false" customHeight="true" outlineLevel="0" collapsed="false">
      <c r="A8" s="22" t="s">
        <v>153</v>
      </c>
      <c r="B8" s="23" t="s">
        <v>154</v>
      </c>
    </row>
    <row r="9" customFormat="false" ht="31.5" hidden="false" customHeight="true" outlineLevel="0" collapsed="false">
      <c r="A9" s="20" t="s">
        <v>155</v>
      </c>
      <c r="B9" s="21" t="s">
        <v>156</v>
      </c>
    </row>
    <row r="10" customFormat="false" ht="31.5" hidden="false" customHeight="true" outlineLevel="0" collapsed="false">
      <c r="A10" s="22" t="s">
        <v>157</v>
      </c>
      <c r="B10" s="23" t="s">
        <v>158</v>
      </c>
    </row>
    <row r="11" customFormat="false" ht="31.5" hidden="false" customHeight="true" outlineLevel="0" collapsed="false">
      <c r="A11" s="20"/>
      <c r="B11" s="21"/>
    </row>
    <row r="12" customFormat="false" ht="31.5" hidden="false" customHeight="true" outlineLevel="0" collapsed="false">
      <c r="A12" s="24" t="s">
        <v>159</v>
      </c>
      <c r="B12" s="25" t="s">
        <v>160</v>
      </c>
    </row>
    <row r="13" customFormat="false" ht="31.5" hidden="false" customHeight="true" outlineLevel="0" collapsed="false">
      <c r="A13" s="24" t="s">
        <v>161</v>
      </c>
      <c r="B13" s="25" t="s">
        <v>162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2026-05-23T08:44:23Z</dcterms:created>
  <dc:creator>openpyxl</dc:creator>
  <dc:description/>
  <dc:language>en-US</dc:language>
  <cp:lastModifiedBy/>
  <dcterms:modified xsi:type="dcterms:W3CDTF">2026-05-23T08:44:23Z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